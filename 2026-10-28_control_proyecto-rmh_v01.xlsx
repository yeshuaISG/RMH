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ácora" sheetId="1" state="visible" r:id="rId1"/>
    <sheet xmlns:r="http://schemas.openxmlformats.org/officeDocument/2006/relationships" name="Control de cambios" sheetId="2" state="visible" r:id="rId2"/>
    <sheet xmlns:r="http://schemas.openxmlformats.org/officeDocument/2006/relationships" name="Registro de riesgos" sheetId="3" state="visible" r:id="rId3"/>
    <sheet xmlns:r="http://schemas.openxmlformats.org/officeDocument/2006/relationships" name="Avance y semáforo" sheetId="4" state="visible" r:id="rId4"/>
    <sheet xmlns:r="http://schemas.openxmlformats.org/officeDocument/2006/relationships" name="Ejemplo de lle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-0;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B6B6B"/>
      <sz val="9"/>
    </font>
    <font>
      <b val="1"/>
      <color rgb="00FFFFFF"/>
    </font>
    <font>
      <b val="1"/>
      <color rgb="001F3A5F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24" customWidth="1" min="4" max="4"/>
    <col width="36" customWidth="1" min="5" max="5"/>
    <col width="30" customWidth="1" min="6" max="6"/>
    <col width="30" customWidth="1" min="7" max="7"/>
    <col width="34" customWidth="1" min="8" max="8"/>
  </cols>
  <sheetData>
    <row r="1">
      <c r="A1" s="1" t="inlineStr">
        <is>
          <t>Bitácora de ejecución</t>
        </is>
      </c>
    </row>
    <row r="2">
      <c r="A2" s="2" t="inlineStr">
        <is>
          <t>Registra cada actividad, incidencia o decisión del proyecto el mismo día en que ocurre. Lo que no está en la bitácora no cuenta como ocurrido.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Quién lo registra</t>
        </is>
      </c>
      <c r="D4" s="3" t="inlineStr">
        <is>
          <t>Responsable de la actividad</t>
        </is>
      </c>
      <c r="E4" s="3" t="inlineStr">
        <is>
          <t>Actividad realizada</t>
        </is>
      </c>
      <c r="F4" s="3" t="inlineStr">
        <is>
          <t>Incidencia o problema</t>
        </is>
      </c>
      <c r="G4" s="3" t="inlineStr">
        <is>
          <t>Decisión tomada</t>
        </is>
      </c>
      <c r="H4" s="3" t="inlineStr">
        <is>
          <t>Evidencia (enlace o nombre de archivo)</t>
        </is>
      </c>
    </row>
    <row r="5">
      <c r="A5" s="4" t="inlineStr">
        <is>
          <t>07/09</t>
        </is>
      </c>
      <c r="B5" s="4" t="n"/>
      <c r="C5" s="4" t="inlineStr">
        <is>
          <t>Arturo</t>
        </is>
      </c>
      <c r="D5" s="4" t="inlineStr">
        <is>
          <t>Arturo</t>
        </is>
      </c>
      <c r="E5" s="4" t="inlineStr">
        <is>
          <t>Inicia el planteamiento y la delimitación de la problemática</t>
        </is>
      </c>
      <c r="F5" s="4" t="n"/>
      <c r="G5" s="4" t="inlineStr">
        <is>
          <t>Ninguna</t>
        </is>
      </c>
      <c r="H5" s="4" t="inlineStr">
        <is>
          <t>Práctica Unidad I, secciones 1.1 y 1.2</t>
        </is>
      </c>
    </row>
    <row r="6">
      <c r="A6" s="4" t="inlineStr">
        <is>
          <t>10/09</t>
        </is>
      </c>
      <c r="B6" s="4" t="n"/>
      <c r="C6" s="4" t="inlineStr">
        <is>
          <t>Arturo</t>
        </is>
      </c>
      <c r="D6" s="4" t="inlineStr">
        <is>
          <t>Yeshua</t>
        </is>
      </c>
      <c r="E6" s="4" t="inlineStr">
        <is>
          <t>Entrevistas a tres empleados y revisión de las hojas de Excel del almacén</t>
        </is>
      </c>
      <c r="F6" s="4" t="inlineStr">
        <is>
          <t>Un intento previo con una base de datos sencilla se abandonó por difícil de usar</t>
        </is>
      </c>
      <c r="G6" s="4" t="inlineStr">
        <is>
          <t>Enfocar RMH en una interfaz simple que reemplace el Excel</t>
        </is>
      </c>
      <c r="H6" s="4" t="inlineStr">
        <is>
          <t>Práctica Unidad I, secciones 1.3 y 2</t>
        </is>
      </c>
    </row>
    <row r="7">
      <c r="A7" s="4" t="inlineStr">
        <is>
          <t>15/09</t>
        </is>
      </c>
      <c r="B7" s="4" t="n"/>
      <c r="C7" s="4" t="inlineStr">
        <is>
          <t>Arturo</t>
        </is>
      </c>
      <c r="D7" s="4" t="inlineStr">
        <is>
          <t>Yeshua</t>
        </is>
      </c>
      <c r="E7" s="4" t="inlineStr">
        <is>
          <t>Define los requerimientos funcionales RF-01 a RF-06</t>
        </is>
      </c>
      <c r="F7" s="4" t="n"/>
      <c r="G7" s="4" t="inlineStr">
        <is>
          <t>RF-01 a RF-04 con prioridad Alta; RF-05 y RF-06 con prioridad Media</t>
        </is>
      </c>
      <c r="H7" s="4" t="inlineStr">
        <is>
          <t>Práctica Unidad I, sección 4</t>
        </is>
      </c>
    </row>
    <row r="8">
      <c r="A8" s="4" t="inlineStr">
        <is>
          <t>18/09</t>
        </is>
      </c>
      <c r="B8" s="4" t="n"/>
      <c r="C8" s="4" t="inlineStr">
        <is>
          <t>Arturo</t>
        </is>
      </c>
      <c r="D8" s="4" t="inlineStr">
        <is>
          <t>Ángel y Carlos</t>
        </is>
      </c>
      <c r="E8" s="4" t="inlineStr">
        <is>
          <t>Inicia el DER (Ángel) y el prototipo de interfaz (Carlos)</t>
        </is>
      </c>
      <c r="F8" s="4" t="n"/>
      <c r="G8" s="4" t="inlineStr">
        <is>
          <t>Trabajar D y F en paralelo</t>
        </is>
      </c>
      <c r="H8" s="4" t="inlineStr">
        <is>
          <t>Práctica Unidad I, sección 7.5 (Gantt)</t>
        </is>
      </c>
    </row>
    <row r="9">
      <c r="A9" s="4" t="inlineStr">
        <is>
          <t>25/09</t>
        </is>
      </c>
      <c r="B9" s="4" t="n"/>
      <c r="C9" s="4" t="inlineStr">
        <is>
          <t>Arturo</t>
        </is>
      </c>
      <c r="D9" s="4" t="inlineStr">
        <is>
          <t>Ángel</t>
        </is>
      </c>
      <c r="E9" s="4" t="inlineStr">
        <is>
          <t>Termina el DER e inicia el modelo relacional y el script MySQL</t>
        </is>
      </c>
      <c r="F9" s="4" t="n"/>
      <c r="G9" s="4" t="inlineStr">
        <is>
          <t>Ninguna</t>
        </is>
      </c>
      <c r="H9" s="4" t="inlineStr">
        <is>
          <t>Práctica Unidad I, Anexo A (DER)</t>
        </is>
      </c>
    </row>
    <row r="10">
      <c r="A10" s="4" t="inlineStr">
        <is>
          <t>02/10</t>
        </is>
      </c>
      <c r="B10" s="4" t="n"/>
      <c r="C10" s="4" t="inlineStr">
        <is>
          <t>Arturo</t>
        </is>
      </c>
      <c r="D10" s="4" t="inlineStr">
        <is>
          <t>Equipo</t>
        </is>
      </c>
      <c r="E10" s="4" t="inlineStr">
        <is>
          <t>Actualiza el Kanban: A, B, C y D terminadas; E y F en proceso</t>
        </is>
      </c>
      <c r="F10" s="4" t="inlineStr">
        <is>
          <t>E y F ya pasaron su fecha programada (24/09 y 01/10)</t>
        </is>
      </c>
      <c r="G10" s="4" t="inlineStr">
        <is>
          <t>Priorizar el modelo MySQL para poder iniciar el catálogo (G)</t>
        </is>
      </c>
      <c r="H10" s="4" t="inlineStr">
        <is>
          <t>Práctica Unidad I, sección 7.7 (Kanban)</t>
        </is>
      </c>
    </row>
    <row r="11">
      <c r="A11" s="4" t="inlineStr">
        <is>
          <t>02/10</t>
        </is>
      </c>
      <c r="B11" s="4" t="n"/>
      <c r="C11" s="4" t="inlineStr">
        <is>
          <t>Arturo</t>
        </is>
      </c>
      <c r="D11" s="4" t="inlineStr">
        <is>
          <t>Arturo y Carlos</t>
        </is>
      </c>
      <c r="E11" s="4" t="inlineStr">
        <is>
          <t>Aprueba la línea base v1.0 y entrega la Práctica Unidad I</t>
        </is>
      </c>
      <c r="F11" s="4" t="n"/>
      <c r="G11" s="4" t="inlineStr">
        <is>
          <t>Cambios al plan solo por consenso, generando una nueva versión</t>
        </is>
      </c>
      <c r="H11" s="4" t="inlineStr">
        <is>
          <t>Práctica Unidad I, sección 7.6; Práctica_Unidad_I_Equipo_2_E_3_1.docx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6" customWidth="1" min="4" max="4"/>
    <col width="30" customWidth="1" min="5" max="5"/>
    <col width="16" customWidth="1" min="6" max="6"/>
    <col width="26" customWidth="1" min="7" max="7"/>
    <col width="14" customWidth="1" min="8" max="8"/>
    <col width="36" customWidth="1" min="9" max="9"/>
    <col width="16" customWidth="1" min="10" max="10"/>
  </cols>
  <sheetData>
    <row r="1">
      <c r="A1" s="1" t="inlineStr">
        <is>
          <t>Control de cambios</t>
        </is>
      </c>
    </row>
    <row r="2">
      <c r="A2" s="2" t="inlineStr">
        <is>
          <t>Registra cada solicitud que modifique el alcance. La decisión se elige de la lista: Aprobar, Posponer o Rechazar.</t>
        </is>
      </c>
    </row>
    <row r="4">
      <c r="A4" s="3" t="inlineStr">
        <is>
          <t>ID</t>
        </is>
      </c>
      <c r="B4" s="3" t="inlineStr">
        <is>
          <t>Fecha de solicitud</t>
        </is>
      </c>
      <c r="C4" s="3" t="inlineStr">
        <is>
          <t>Quién solicita</t>
        </is>
      </c>
      <c r="D4" s="3" t="inlineStr">
        <is>
          <t>Descripción del cambio</t>
        </is>
      </c>
      <c r="E4" s="3" t="inlineStr">
        <is>
          <t>Motivo</t>
        </is>
      </c>
      <c r="F4" s="3" t="inlineStr">
        <is>
          <t>Impacto en tiempo (días)</t>
        </is>
      </c>
      <c r="G4" s="3" t="inlineStr">
        <is>
          <t>Impacto en calidad o costo</t>
        </is>
      </c>
      <c r="H4" s="3" t="inlineStr">
        <is>
          <t>Decisión</t>
        </is>
      </c>
      <c r="I4" s="3" t="inlineStr">
        <is>
          <t>Justificación</t>
        </is>
      </c>
      <c r="J4" s="3" t="inlineStr">
        <is>
          <t>Fecha de decisión</t>
        </is>
      </c>
    </row>
    <row r="5">
      <c r="A5" s="4" t="inlineStr">
        <is>
          <t>CC-01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CC-02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</sheetData>
  <dataValidations count="1">
    <dataValidation sqref="H5:H34" showDropDown="0" showInputMessage="0" showErrorMessage="0" allowBlank="1" type="list">
      <formula1>"Aprobar,Posponer,Rechazar"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4" customWidth="1" min="4" max="4"/>
    <col width="14" customWidth="1" min="5" max="5"/>
    <col width="16" customWidth="1" min="6" max="6"/>
    <col width="36" customWidth="1" min="7" max="7"/>
    <col width="20" customWidth="1" min="8" max="8"/>
    <col width="14" customWidth="1" min="9" max="9"/>
  </cols>
  <sheetData>
    <row r="1">
      <c r="A1" s="1" t="inlineStr">
        <is>
          <t>Registro de riesgos</t>
        </is>
      </c>
    </row>
    <row r="2">
      <c r="A2" s="2" t="inlineStr">
        <is>
          <t>Probabilidad e impacto del 1 al 5. El nivel y la clasificación se calculan solos: 15 o más es Alto, de 8 a 14 es Medio, y menos de 8 es Bajo.</t>
        </is>
      </c>
    </row>
    <row r="4">
      <c r="A4" s="3" t="inlineStr">
        <is>
          <t>ID</t>
        </is>
      </c>
      <c r="B4" s="3" t="inlineStr">
        <is>
          <t>Descripción del riesgo</t>
        </is>
      </c>
      <c r="C4" s="3" t="inlineStr">
        <is>
          <t>Probabilidad (1-5)</t>
        </is>
      </c>
      <c r="D4" s="3" t="inlineStr">
        <is>
          <t>Impacto (1-5)</t>
        </is>
      </c>
      <c r="E4" s="3" t="inlineStr">
        <is>
          <t>Nivel (P × I)</t>
        </is>
      </c>
      <c r="F4" s="3" t="inlineStr">
        <is>
          <t>Clasificación</t>
        </is>
      </c>
      <c r="G4" s="3" t="inlineStr">
        <is>
          <t>Respuesta propuesta</t>
        </is>
      </c>
      <c r="H4" s="3" t="inlineStr">
        <is>
          <t>Responsable</t>
        </is>
      </c>
      <c r="I4" s="3" t="inlineStr">
        <is>
          <t>Estado</t>
        </is>
      </c>
    </row>
    <row r="5">
      <c r="A5" s="4" t="inlineStr">
        <is>
          <t>R-01</t>
        </is>
      </c>
      <c r="B5" s="4" t="inlineStr">
        <is>
          <t>Atraso en la ruta crítica: E (modelo MySQL) y F (prototipo) ya pasaron su fecha programada al 02/10</t>
        </is>
      </c>
      <c r="C5" s="4" t="n">
        <v>4</v>
      </c>
      <c r="D5" s="4" t="n">
        <v>5</v>
      </c>
      <c r="E5" s="4">
        <f>IF(OR(C5="",D5=""),"",C5*D5)</f>
        <v/>
      </c>
      <c r="F5" s="4">
        <f>IF(E5="","",IF(E5&gt;=15,"Alto",IF(E5&gt;=8,"Medio","Bajo")))</f>
        <v/>
      </c>
      <c r="G5" s="4" t="inlineStr">
        <is>
          <t>Priorizar el modelo MySQL, revisar el avance cada semana y reasignar tareas por consenso</t>
        </is>
      </c>
      <c r="H5" s="4" t="inlineStr">
        <is>
          <t>Ángel</t>
        </is>
      </c>
      <c r="I5" s="4" t="inlineStr">
        <is>
          <t>En seguimiento</t>
        </is>
      </c>
    </row>
    <row r="6">
      <c r="A6" s="4" t="inlineStr">
        <is>
          <t>R-02</t>
        </is>
      </c>
      <c r="B6" s="4" t="inlineStr">
        <is>
          <t>Margen muy reducido para la entrega final del 12/11 (48.67 días hábiles; la actividad N tiene solo 0.17 días de holgura)</t>
        </is>
      </c>
      <c r="C6" s="4" t="n">
        <v>3</v>
      </c>
      <c r="D6" s="4" t="n">
        <v>4</v>
      </c>
      <c r="E6" s="4">
        <f>IF(OR(C6="",D6=""),"",C6*D6)</f>
        <v/>
      </c>
      <c r="F6" s="4">
        <f>IF(E6="","",IF(E6&gt;=15,"Alto",IF(E6&gt;=8,"Medio","Bajo")))</f>
        <v/>
      </c>
      <c r="G6" s="4" t="inlineStr">
        <is>
          <t>Vigilar N y las actividades críticas; revisar Gantt y línea base ante cualquier ajuste</t>
        </is>
      </c>
      <c r="H6" s="4" t="inlineStr">
        <is>
          <t>Arturo</t>
        </is>
      </c>
      <c r="I6" s="4" t="inlineStr">
        <is>
          <t>Abierto</t>
        </is>
      </c>
    </row>
    <row r="7">
      <c r="A7" s="4" t="inlineStr">
        <is>
          <t>R-03</t>
        </is>
      </c>
      <c r="B7" s="4" t="inlineStr">
        <is>
          <t>Poca adopción del sistema: un intento previo con una base de datos sencilla se abandonó y se volvió a Excel</t>
        </is>
      </c>
      <c r="C7" s="4" t="n">
        <v>3</v>
      </c>
      <c r="D7" s="4" t="n">
        <v>4</v>
      </c>
      <c r="E7" s="4">
        <f>IF(OR(C7="",D7=""),"",C7*D7)</f>
        <v/>
      </c>
      <c r="F7" s="4">
        <f>IF(E7="","",IF(E7&gt;=15,"Alto",IF(E7&gt;=8,"Medio","Bajo")))</f>
        <v/>
      </c>
      <c r="G7" s="4" t="inlineStr">
        <is>
          <t>Interfaz simple, probar el prototipo con usuarios del almacén y dar manual y capacitación (N)</t>
        </is>
      </c>
      <c r="H7" s="4" t="inlineStr">
        <is>
          <t>Yeshua</t>
        </is>
      </c>
      <c r="I7" s="4" t="inlineStr">
        <is>
          <t>Abierto</t>
        </is>
      </c>
    </row>
    <row r="8">
      <c r="A8" s="4" t="inlineStr">
        <is>
          <t>R-04</t>
        </is>
      </c>
      <c r="B8" s="4" t="inlineStr">
        <is>
          <t>Carga concentrada en Carlos (actividades F, G, H y M)</t>
        </is>
      </c>
      <c r="C8" s="4" t="n">
        <v>3</v>
      </c>
      <c r="D8" s="4" t="n">
        <v>4</v>
      </c>
      <c r="E8" s="4">
        <f>IF(OR(C8="",D8=""),"",C8*D8)</f>
        <v/>
      </c>
      <c r="F8" s="4">
        <f>IF(E8="","",IF(E8&gt;=15,"Alto",IF(E8&gt;=8,"Medio","Bajo")))</f>
        <v/>
      </c>
      <c r="G8" s="4" t="inlineStr">
        <is>
          <t>Rotar tareas y apoyar con Yeshua y Ángel, como se acordó en el punto 5.2</t>
        </is>
      </c>
      <c r="H8" s="4" t="inlineStr">
        <is>
          <t>Arturo</t>
        </is>
      </c>
      <c r="I8" s="4" t="inlineStr">
        <is>
          <t>Abierto</t>
        </is>
      </c>
    </row>
    <row r="9">
      <c r="A9" s="4" t="inlineStr">
        <is>
          <t>R-05</t>
        </is>
      </c>
      <c r="B9" s="4" t="inlineStr">
        <is>
          <t>Inconsistencias en el inventario (stock negativo o movimientos mal registrados)</t>
        </is>
      </c>
      <c r="C9" s="4" t="n">
        <v>2</v>
      </c>
      <c r="D9" s="4" t="n">
        <v>5</v>
      </c>
      <c r="E9" s="4">
        <f>IF(OR(C9="",D9=""),"",C9*D9)</f>
        <v/>
      </c>
      <c r="F9" s="4">
        <f>IF(E9="","",IF(E9&gt;=15,"Alto",IF(E9&gt;=8,"Medio","Bajo")))</f>
        <v/>
      </c>
      <c r="G9" s="4" t="inlineStr">
        <is>
          <t>Validar existencias antes de restar (RF-03), conservar la bitácora y hacer pruebas funcionales (L)</t>
        </is>
      </c>
      <c r="H9" s="4" t="inlineStr">
        <is>
          <t>Ángel</t>
        </is>
      </c>
      <c r="I9" s="4" t="inlineStr">
        <is>
          <t>Abierto</t>
        </is>
      </c>
    </row>
    <row r="10">
      <c r="A10" s="4" t="inlineStr">
        <is>
          <t>R-06</t>
        </is>
      </c>
      <c r="B10" s="4" t="inlineStr">
        <is>
          <t>Falta de acceso a datos reales del almacén para probar el sistema</t>
        </is>
      </c>
      <c r="C10" s="4" t="n">
        <v>2</v>
      </c>
      <c r="D10" s="4" t="n">
        <v>3</v>
      </c>
      <c r="E10" s="4">
        <f>IF(OR(C10="",D10=""),"",C10*D10)</f>
        <v/>
      </c>
      <c r="F10" s="4">
        <f>IF(E10="","",IF(E10&gt;=15,"Alto",IF(E10&gt;=8,"Medio","Bajo")))</f>
        <v/>
      </c>
      <c r="G10" s="4" t="inlineStr">
        <is>
          <t>Usar datos de prueba basados en las hojas de Excel capturadas en la evidencia inicial</t>
        </is>
      </c>
      <c r="H10" s="4" t="inlineStr">
        <is>
          <t>Yeshua</t>
        </is>
      </c>
      <c r="I10" s="4" t="inlineStr">
        <is>
          <t>Abierto</t>
        </is>
      </c>
    </row>
    <row r="11">
      <c r="A11" s="4" t="n"/>
      <c r="B11" s="4" t="n"/>
      <c r="C11" s="4" t="n"/>
      <c r="D11" s="4" t="n"/>
      <c r="E11" s="4">
        <f>IF(OR(C11="",D11=""),"",C11*D11)</f>
        <v/>
      </c>
      <c r="F11" s="4">
        <f>IF(E11="","",IF(E11&gt;=15,"Alto",IF(E11&gt;=8,"Medio","Bajo")))</f>
        <v/>
      </c>
      <c r="G11" s="4" t="n"/>
      <c r="H11" s="4" t="n"/>
      <c r="I11" s="4" t="n"/>
    </row>
    <row r="12">
      <c r="A12" s="4" t="n"/>
      <c r="B12" s="4" t="n"/>
      <c r="C12" s="4" t="n"/>
      <c r="D12" s="4" t="n"/>
      <c r="E12" s="4">
        <f>IF(OR(C12="",D12=""),"",C12*D12)</f>
        <v/>
      </c>
      <c r="F12" s="4">
        <f>IF(E12="","",IF(E12&gt;=15,"Alto",IF(E12&gt;=8,"Medio","Bajo")))</f>
        <v/>
      </c>
      <c r="G12" s="4" t="n"/>
      <c r="H12" s="4" t="n"/>
      <c r="I12" s="4" t="n"/>
    </row>
    <row r="13">
      <c r="A13" s="4" t="n"/>
      <c r="B13" s="4" t="n"/>
      <c r="C13" s="4" t="n"/>
      <c r="D13" s="4" t="n"/>
      <c r="E13" s="4">
        <f>IF(OR(C13="",D13=""),"",C13*D13)</f>
        <v/>
      </c>
      <c r="F13" s="4">
        <f>IF(E13="","",IF(E13&gt;=15,"Alto",IF(E13&gt;=8,"Medio","Bajo")))</f>
        <v/>
      </c>
      <c r="G13" s="4" t="n"/>
      <c r="H13" s="4" t="n"/>
      <c r="I13" s="4" t="n"/>
    </row>
    <row r="14">
      <c r="A14" s="4" t="n"/>
      <c r="B14" s="4" t="n"/>
      <c r="C14" s="4" t="n"/>
      <c r="D14" s="4" t="n"/>
      <c r="E14" s="4">
        <f>IF(OR(C14="",D14=""),"",C14*D14)</f>
        <v/>
      </c>
      <c r="F14" s="4">
        <f>IF(E14="","",IF(E14&gt;=15,"Alto",IF(E14&gt;=8,"Medio","Bajo")))</f>
        <v/>
      </c>
      <c r="G14" s="4" t="n"/>
      <c r="H14" s="4" t="n"/>
      <c r="I14" s="4" t="n"/>
    </row>
    <row r="15">
      <c r="A15" s="4" t="n"/>
      <c r="B15" s="4" t="n"/>
      <c r="C15" s="4" t="n"/>
      <c r="D15" s="4" t="n"/>
      <c r="E15" s="4">
        <f>IF(OR(C15="",D15=""),"",C15*D15)</f>
        <v/>
      </c>
      <c r="F15" s="4">
        <f>IF(E15="","",IF(E15&gt;=15,"Alto",IF(E15&gt;=8,"Medio","Bajo")))</f>
        <v/>
      </c>
      <c r="G15" s="4" t="n"/>
      <c r="H15" s="4" t="n"/>
      <c r="I15" s="4" t="n"/>
    </row>
    <row r="16">
      <c r="A16" s="4" t="n"/>
      <c r="B16" s="4" t="n"/>
      <c r="C16" s="4" t="n"/>
      <c r="D16" s="4" t="n"/>
      <c r="E16" s="4">
        <f>IF(OR(C16="",D16=""),"",C16*D16)</f>
        <v/>
      </c>
      <c r="F16" s="4">
        <f>IF(E16="","",IF(E16&gt;=15,"Alto",IF(E16&gt;=8,"Medio","Bajo")))</f>
        <v/>
      </c>
      <c r="G16" s="4" t="n"/>
      <c r="H16" s="4" t="n"/>
      <c r="I16" s="4" t="n"/>
    </row>
    <row r="17">
      <c r="A17" s="4" t="n"/>
      <c r="B17" s="4" t="n"/>
      <c r="C17" s="4" t="n"/>
      <c r="D17" s="4" t="n"/>
      <c r="E17" s="4">
        <f>IF(OR(C17="",D17=""),"",C17*D17)</f>
        <v/>
      </c>
      <c r="F17" s="4">
        <f>IF(E17="","",IF(E17&gt;=15,"Alto",IF(E17&gt;=8,"Medio","Bajo")))</f>
        <v/>
      </c>
      <c r="G17" s="4" t="n"/>
      <c r="H17" s="4" t="n"/>
      <c r="I17" s="4" t="n"/>
    </row>
    <row r="18">
      <c r="A18" s="4" t="n"/>
      <c r="B18" s="4" t="n"/>
      <c r="C18" s="4" t="n"/>
      <c r="D18" s="4" t="n"/>
      <c r="E18" s="4">
        <f>IF(OR(C18="",D18=""),"",C18*D18)</f>
        <v/>
      </c>
      <c r="F18" s="4">
        <f>IF(E18="","",IF(E18&gt;=15,"Alto",IF(E18&gt;=8,"Medio","Bajo")))</f>
        <v/>
      </c>
      <c r="G18" s="4" t="n"/>
      <c r="H18" s="4" t="n"/>
      <c r="I18" s="4" t="n"/>
    </row>
    <row r="19">
      <c r="A19" s="4" t="n"/>
      <c r="B19" s="4" t="n"/>
      <c r="C19" s="4" t="n"/>
      <c r="D19" s="4" t="n"/>
      <c r="E19" s="4">
        <f>IF(OR(C19="",D19=""),"",C19*D19)</f>
        <v/>
      </c>
      <c r="F19" s="4">
        <f>IF(E19="","",IF(E19&gt;=15,"Alto",IF(E19&gt;=8,"Medio","Bajo")))</f>
        <v/>
      </c>
      <c r="G19" s="4" t="n"/>
      <c r="H19" s="4" t="n"/>
      <c r="I19" s="4" t="n"/>
    </row>
    <row r="20">
      <c r="A20" s="4" t="n"/>
      <c r="B20" s="4" t="n"/>
      <c r="C20" s="4" t="n"/>
      <c r="D20" s="4" t="n"/>
      <c r="E20" s="4">
        <f>IF(OR(C20="",D20=""),"",C20*D20)</f>
        <v/>
      </c>
      <c r="F20" s="4">
        <f>IF(E20="","",IF(E20&gt;=15,"Alto",IF(E20&gt;=8,"Medio","Bajo")))</f>
        <v/>
      </c>
      <c r="G20" s="4" t="n"/>
      <c r="H20" s="4" t="n"/>
      <c r="I20" s="4" t="n"/>
    </row>
    <row r="21">
      <c r="A21" s="4" t="n"/>
      <c r="B21" s="4" t="n"/>
      <c r="C21" s="4" t="n"/>
      <c r="D21" s="4" t="n"/>
      <c r="E21" s="4">
        <f>IF(OR(C21="",D21=""),"",C21*D21)</f>
        <v/>
      </c>
      <c r="F21" s="4">
        <f>IF(E21="","",IF(E21&gt;=15,"Alto",IF(E21&gt;=8,"Medio","Bajo")))</f>
        <v/>
      </c>
      <c r="G21" s="4" t="n"/>
      <c r="H21" s="4" t="n"/>
      <c r="I21" s="4" t="n"/>
    </row>
    <row r="22">
      <c r="A22" s="4" t="n"/>
      <c r="B22" s="4" t="n"/>
      <c r="C22" s="4" t="n"/>
      <c r="D22" s="4" t="n"/>
      <c r="E22" s="4">
        <f>IF(OR(C22="",D22=""),"",C22*D22)</f>
        <v/>
      </c>
      <c r="F22" s="4">
        <f>IF(E22="","",IF(E22&gt;=15,"Alto",IF(E22&gt;=8,"Medio","Bajo")))</f>
        <v/>
      </c>
      <c r="G22" s="4" t="n"/>
      <c r="H22" s="4" t="n"/>
      <c r="I22" s="4" t="n"/>
    </row>
    <row r="23">
      <c r="A23" s="4" t="n"/>
      <c r="B23" s="4" t="n"/>
      <c r="C23" s="4" t="n"/>
      <c r="D23" s="4" t="n"/>
      <c r="E23" s="4">
        <f>IF(OR(C23="",D23=""),"",C23*D23)</f>
        <v/>
      </c>
      <c r="F23" s="4">
        <f>IF(E23="","",IF(E23&gt;=15,"Alto",IF(E23&gt;=8,"Medio","Bajo")))</f>
        <v/>
      </c>
      <c r="G23" s="4" t="n"/>
      <c r="H23" s="4" t="n"/>
      <c r="I23" s="4" t="n"/>
    </row>
    <row r="24">
      <c r="A24" s="4" t="n"/>
      <c r="B24" s="4" t="n"/>
      <c r="C24" s="4" t="n"/>
      <c r="D24" s="4" t="n"/>
      <c r="E24" s="4">
        <f>IF(OR(C24="",D24=""),"",C24*D24)</f>
        <v/>
      </c>
      <c r="F24" s="4">
        <f>IF(E24="","",IF(E24&gt;=15,"Alto",IF(E24&gt;=8,"Medio","Bajo")))</f>
        <v/>
      </c>
      <c r="G24" s="4" t="n"/>
      <c r="H24" s="4" t="n"/>
      <c r="I24" s="4" t="n"/>
    </row>
    <row r="25">
      <c r="A25" s="4" t="n"/>
      <c r="B25" s="4" t="n"/>
      <c r="C25" s="4" t="n"/>
      <c r="D25" s="4" t="n"/>
      <c r="E25" s="4">
        <f>IF(OR(C25="",D25=""),"",C25*D25)</f>
        <v/>
      </c>
      <c r="F25" s="4">
        <f>IF(E25="","",IF(E25&gt;=15,"Alto",IF(E25&gt;=8,"Medio","Bajo")))</f>
        <v/>
      </c>
      <c r="G25" s="4" t="n"/>
      <c r="H25" s="4" t="n"/>
      <c r="I25" s="4" t="n"/>
    </row>
    <row r="26">
      <c r="A26" s="4" t="n"/>
      <c r="B26" s="4" t="n"/>
      <c r="C26" s="4" t="n"/>
      <c r="D26" s="4" t="n"/>
      <c r="E26" s="4">
        <f>IF(OR(C26="",D26=""),"",C26*D26)</f>
        <v/>
      </c>
      <c r="F26" s="4">
        <f>IF(E26="","",IF(E26&gt;=15,"Alto",IF(E26&gt;=8,"Medio","Bajo")))</f>
        <v/>
      </c>
      <c r="G26" s="4" t="n"/>
      <c r="H26" s="4" t="n"/>
      <c r="I26" s="4" t="n"/>
    </row>
    <row r="27">
      <c r="A27" s="4" t="n"/>
      <c r="B27" s="4" t="n"/>
      <c r="C27" s="4" t="n"/>
      <c r="D27" s="4" t="n"/>
      <c r="E27" s="4">
        <f>IF(OR(C27="",D27=""),"",C27*D27)</f>
        <v/>
      </c>
      <c r="F27" s="4">
        <f>IF(E27="","",IF(E27&gt;=15,"Alto",IF(E27&gt;=8,"Medio","Bajo")))</f>
        <v/>
      </c>
      <c r="G27" s="4" t="n"/>
      <c r="H27" s="4" t="n"/>
      <c r="I27" s="4" t="n"/>
    </row>
    <row r="28">
      <c r="A28" s="4" t="n"/>
      <c r="B28" s="4" t="n"/>
      <c r="C28" s="4" t="n"/>
      <c r="D28" s="4" t="n"/>
      <c r="E28" s="4">
        <f>IF(OR(C28="",D28=""),"",C28*D28)</f>
        <v/>
      </c>
      <c r="F28" s="4">
        <f>IF(E28="","",IF(E28&gt;=15,"Alto",IF(E28&gt;=8,"Medio","Bajo")))</f>
        <v/>
      </c>
      <c r="G28" s="4" t="n"/>
      <c r="H28" s="4" t="n"/>
      <c r="I28" s="4" t="n"/>
    </row>
    <row r="29">
      <c r="A29" s="4" t="n"/>
      <c r="B29" s="4" t="n"/>
      <c r="C29" s="4" t="n"/>
      <c r="D29" s="4" t="n"/>
      <c r="E29" s="4">
        <f>IF(OR(C29="",D29=""),"",C29*D29)</f>
        <v/>
      </c>
      <c r="F29" s="4">
        <f>IF(E29="","",IF(E29&gt;=15,"Alto",IF(E29&gt;=8,"Medio","Bajo")))</f>
        <v/>
      </c>
      <c r="G29" s="4" t="n"/>
      <c r="H29" s="4" t="n"/>
      <c r="I29" s="4" t="n"/>
    </row>
    <row r="30">
      <c r="A30" s="4" t="n"/>
      <c r="B30" s="4" t="n"/>
      <c r="C30" s="4" t="n"/>
      <c r="D30" s="4" t="n"/>
      <c r="E30" s="4">
        <f>IF(OR(C30="",D30=""),"",C30*D30)</f>
        <v/>
      </c>
      <c r="F30" s="4">
        <f>IF(E30="","",IF(E30&gt;=15,"Alto",IF(E30&gt;=8,"Medio","Bajo")))</f>
        <v/>
      </c>
      <c r="G30" s="4" t="n"/>
      <c r="H30" s="4" t="n"/>
      <c r="I30" s="4" t="n"/>
    </row>
    <row r="31">
      <c r="A31" s="4" t="n"/>
      <c r="B31" s="4" t="n"/>
      <c r="C31" s="4" t="n"/>
      <c r="D31" s="4" t="n"/>
      <c r="E31" s="4">
        <f>IF(OR(C31="",D31=""),"",C31*D31)</f>
        <v/>
      </c>
      <c r="F31" s="4">
        <f>IF(E31="","",IF(E31&gt;=15,"Alto",IF(E31&gt;=8,"Medio","Bajo")))</f>
        <v/>
      </c>
      <c r="G31" s="4" t="n"/>
      <c r="H31" s="4" t="n"/>
      <c r="I31" s="4" t="n"/>
    </row>
    <row r="32">
      <c r="A32" s="4" t="n"/>
      <c r="B32" s="4" t="n"/>
      <c r="C32" s="4" t="n"/>
      <c r="D32" s="4" t="n"/>
      <c r="E32" s="4">
        <f>IF(OR(C32="",D32=""),"",C32*D32)</f>
        <v/>
      </c>
      <c r="F32" s="4">
        <f>IF(E32="","",IF(E32&gt;=15,"Alto",IF(E32&gt;=8,"Medio","Bajo")))</f>
        <v/>
      </c>
      <c r="G32" s="4" t="n"/>
      <c r="H32" s="4" t="n"/>
      <c r="I32" s="4" t="n"/>
    </row>
    <row r="33">
      <c r="A33" s="4" t="n"/>
      <c r="B33" s="4" t="n"/>
      <c r="C33" s="4" t="n"/>
      <c r="D33" s="4" t="n"/>
      <c r="E33" s="4">
        <f>IF(OR(C33="",D33=""),"",C33*D33)</f>
        <v/>
      </c>
      <c r="F33" s="4">
        <f>IF(E33="","",IF(E33&gt;=15,"Alto",IF(E33&gt;=8,"Medio","Bajo")))</f>
        <v/>
      </c>
      <c r="G33" s="4" t="n"/>
      <c r="H33" s="4" t="n"/>
      <c r="I33" s="4" t="n"/>
    </row>
    <row r="34">
      <c r="A34" s="4" t="n"/>
      <c r="B34" s="4" t="n"/>
      <c r="C34" s="4" t="n"/>
      <c r="D34" s="4" t="n"/>
      <c r="E34" s="4">
        <f>IF(OR(C34="",D34=""),"",C34*D34)</f>
        <v/>
      </c>
      <c r="F34" s="4">
        <f>IF(E34="","",IF(E34&gt;=15,"Alto",IF(E34&gt;=8,"Medio","Bajo")))</f>
        <v/>
      </c>
      <c r="G34" s="4" t="n"/>
      <c r="H34" s="4" t="n"/>
      <c r="I34" s="4" t="n"/>
    </row>
  </sheetData>
  <conditionalFormatting sqref="F5:F34">
    <cfRule type="expression" priority="1" dxfId="0">
      <formula>$F5="Alto"</formula>
    </cfRule>
    <cfRule type="expression" priority="2" dxfId="1">
      <formula>$F5="Medio"</formula>
    </cfRule>
    <cfRule type="expression" priority="3" dxfId="2">
      <formula>$F5="Bajo"</formula>
    </cfRule>
  </conditionalFormatting>
  <dataValidations count="2">
    <dataValidation sqref="C5:D34" showDropDown="0" showInputMessage="0" showErrorMessage="0" allowBlank="1" type="whole" operator="between">
      <formula1>1</formula1>
      <formula2>5</formula2>
    </dataValidation>
    <dataValidation sqref="I5:I34" showDropDown="0" showInputMessage="0" showErrorMessage="0" allowBlank="1" type="list">
      <formula1>"Abierto,En seguimiento,Cerrado"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4" customWidth="1" min="5" max="5"/>
    <col width="36" customWidth="1" min="6" max="6"/>
    <col width="40" customWidth="1" min="7" max="7"/>
  </cols>
  <sheetData>
    <row r="1">
      <c r="A1" s="1" t="inlineStr">
        <is>
          <t>Avance planeado contra real</t>
        </is>
      </c>
    </row>
    <row r="2">
      <c r="A2" s="2" t="inlineStr">
        <is>
          <t>Escribe solo los porcentajes. La variación y el semáforo se calculan solos: verde si el atraso es menor a 5 puntos, amarillo de 5 a 14, y rojo de 15 o más.</t>
        </is>
      </c>
    </row>
    <row r="4">
      <c r="A4" s="3" t="inlineStr">
        <is>
          <t>Fase</t>
        </is>
      </c>
      <c r="B4" s="3" t="inlineStr">
        <is>
          <t>Avance planeado (%)</t>
        </is>
      </c>
      <c r="C4" s="3" t="inlineStr">
        <is>
          <t>Avance real (%)</t>
        </is>
      </c>
      <c r="D4" s="3" t="inlineStr">
        <is>
          <t>Variación (puntos)</t>
        </is>
      </c>
      <c r="E4" s="3" t="inlineStr">
        <is>
          <t>Semáforo</t>
        </is>
      </c>
      <c r="F4" s="3" t="inlineStr">
        <is>
          <t>Evidencia que lo comprueba</t>
        </is>
      </c>
      <c r="G4" s="3" t="inlineStr">
        <is>
          <t>Comentario para el docente</t>
        </is>
      </c>
    </row>
    <row r="5">
      <c r="A5" s="4" t="inlineStr">
        <is>
          <t>Requisitos</t>
        </is>
      </c>
      <c r="B5" s="5" t="n">
        <v>100</v>
      </c>
      <c r="C5" s="5" t="n">
        <v>100</v>
      </c>
      <c r="D5" s="6">
        <f>IF(OR(B5="",C5=""),"",C5-B5)</f>
        <v/>
      </c>
      <c r="E5" s="4">
        <f>IF(D5="","",IF(D5&gt;-5,"Verde",IF(D5&gt;-15,"Amarillo","Rojo")))</f>
        <v/>
      </c>
      <c r="F5" s="4" t="inlineStr">
        <is>
          <t>Lista de requerimientos RF-01 a RF-06 (Práctica Unidad I, sección 4)</t>
        </is>
      </c>
      <c r="G5" s="4" t="inlineStr">
        <is>
          <t>Actividades A, B y C terminadas. Corte al 02/10/2026 (último Kanban documentado).</t>
        </is>
      </c>
    </row>
    <row r="6">
      <c r="A6" s="4" t="inlineStr">
        <is>
          <t>Diseño</t>
        </is>
      </c>
      <c r="B6" s="5" t="n">
        <v>100</v>
      </c>
      <c r="C6" s="5" t="n">
        <v>38</v>
      </c>
      <c r="D6" s="6">
        <f>IF(OR(B6="",C6=""),"",C6-B6)</f>
        <v/>
      </c>
      <c r="E6" s="4">
        <f>IF(D6="","",IF(D6&gt;-5,"Verde",IF(D6&gt;-15,"Amarillo","Rojo")))</f>
        <v/>
      </c>
      <c r="F6" s="4" t="inlineStr">
        <is>
          <t>DER (Anexo A) y Kanban 7.7</t>
        </is>
      </c>
      <c r="G6" s="4" t="inlineStr">
        <is>
          <t>Solo D está terminada; E (MySQL) y F (prototipo) siguen en proceso sin % documentado, por eso no se cuentan. Se prioriza E.</t>
        </is>
      </c>
    </row>
    <row r="7">
      <c r="A7" s="4" t="inlineStr">
        <is>
          <t>Desarrollo</t>
        </is>
      </c>
      <c r="B7" s="5" t="n">
        <v>7</v>
      </c>
      <c r="C7" s="5" t="n">
        <v>0</v>
      </c>
      <c r="D7" s="6">
        <f>IF(OR(B7="",C7=""),"",C7-B7)</f>
        <v/>
      </c>
      <c r="E7" s="4">
        <f>IF(D7="","",IF(D7&gt;-5,"Verde",IF(D7&gt;-15,"Amarillo","Rojo")))</f>
        <v/>
      </c>
      <c r="F7" s="4" t="inlineStr">
        <is>
          <t>Gantt 7.5 y línea base 7.6</t>
        </is>
      </c>
      <c r="G7" s="4" t="inlineStr">
        <is>
          <t>G inició el 01/10 según el plan; aún sin avance registrado.</t>
        </is>
      </c>
    </row>
    <row r="8">
      <c r="A8" s="4" t="inlineStr">
        <is>
          <t>Pruebas</t>
        </is>
      </c>
      <c r="B8" s="5" t="n">
        <v>0</v>
      </c>
      <c r="C8" s="5" t="n">
        <v>0</v>
      </c>
      <c r="D8" s="6">
        <f>IF(OR(B8="",C8=""),"",C8-B8)</f>
        <v/>
      </c>
      <c r="E8" s="4">
        <f>IF(D8="","",IF(D8&gt;-5,"Verde",IF(D8&gt;-15,"Amarillo","Rojo")))</f>
        <v/>
      </c>
      <c r="F8" s="4" t="inlineStr">
        <is>
          <t>Gantt 7.5</t>
        </is>
      </c>
      <c r="G8" s="4" t="inlineStr">
        <is>
          <t>Inicia el 28/10 según el plan.</t>
        </is>
      </c>
    </row>
    <row r="9">
      <c r="A9" s="4" t="inlineStr">
        <is>
          <t>Entrega al cliente</t>
        </is>
      </c>
      <c r="B9" s="5" t="n">
        <v>0</v>
      </c>
      <c r="C9" s="5" t="n">
        <v>0</v>
      </c>
      <c r="D9" s="6">
        <f>IF(OR(B9="",C9=""),"",C9-B9)</f>
        <v/>
      </c>
      <c r="E9" s="4">
        <f>IF(D9="","",IF(D9&gt;-5,"Verde",IF(D9&gt;-15,"Amarillo","Rojo")))</f>
        <v/>
      </c>
      <c r="F9" s="4" t="inlineStr">
        <is>
          <t>Línea base 7.6</t>
        </is>
      </c>
      <c r="G9" s="4" t="inlineStr">
        <is>
          <t>Entrega final planeada para el 12/11/2026.</t>
        </is>
      </c>
    </row>
    <row r="10">
      <c r="A10" s="4" t="n"/>
      <c r="B10" s="5" t="n"/>
      <c r="C10" s="5" t="n"/>
      <c r="D10" s="6" t="n"/>
      <c r="E10" s="4" t="n"/>
      <c r="F10" s="4" t="n"/>
      <c r="G10" s="4" t="n"/>
    </row>
    <row r="11">
      <c r="A11" s="4" t="n"/>
      <c r="B11" s="5" t="n"/>
      <c r="C11" s="5" t="n"/>
      <c r="D11" s="6" t="n"/>
      <c r="E11" s="4" t="n"/>
      <c r="F11" s="4" t="n"/>
      <c r="G11" s="4" t="n"/>
    </row>
    <row r="12">
      <c r="A12" s="4" t="n"/>
      <c r="B12" s="5" t="n"/>
      <c r="C12" s="5" t="n"/>
      <c r="D12" s="6" t="n"/>
      <c r="E12" s="4" t="n"/>
      <c r="F12" s="4" t="n"/>
      <c r="G12" s="4" t="n"/>
    </row>
    <row r="13">
      <c r="A13" s="4" t="n"/>
      <c r="B13" s="5" t="n"/>
      <c r="C13" s="5" t="n"/>
      <c r="D13" s="6" t="n"/>
      <c r="E13" s="4" t="n"/>
      <c r="F13" s="4" t="n"/>
      <c r="G13" s="4" t="n"/>
    </row>
    <row r="14">
      <c r="A14" s="4" t="n"/>
      <c r="B14" s="5" t="n"/>
      <c r="C14" s="5" t="n"/>
      <c r="D14" s="6" t="n"/>
      <c r="E14" s="4" t="n"/>
      <c r="F14" s="4" t="n"/>
      <c r="G14" s="4" t="n"/>
    </row>
  </sheetData>
  <conditionalFormatting sqref="E5:E14">
    <cfRule type="expression" priority="1" dxfId="0">
      <formula>$E5="Rojo"</formula>
    </cfRule>
    <cfRule type="expression" priority="2" dxfId="1">
      <formula>$E5="Amarillo"</formula>
    </cfRule>
    <cfRule type="expression" priority="3" dxfId="2">
      <formula>$E5="Verde"</formula>
    </cfRule>
  </conditionalFormatting>
  <dataValidations count="1">
    <dataValidation sqref="B5:C14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8" customWidth="1" min="4" max="4"/>
    <col width="30" customWidth="1" min="5" max="5"/>
    <col width="30" customWidth="1" min="6" max="6"/>
    <col width="34" customWidth="1" min="7" max="7"/>
    <col width="22" customWidth="1" min="8" max="8"/>
    <col width="16" customWidth="1" min="9" max="9"/>
  </cols>
  <sheetData>
    <row r="1">
      <c r="A1" s="1" t="inlineStr">
        <is>
          <t>Ejemplo de llenado (caso Ruta Fresca)</t>
        </is>
      </c>
    </row>
    <row r="2">
      <c r="A2" s="2" t="inlineStr">
        <is>
          <t>Esta hoja es solo de referencia. Compara cómo se llenan las otras hojas y crea tus datos en ellas, no aquí.</t>
        </is>
      </c>
    </row>
    <row r="4">
      <c r="A4" s="7" t="inlineStr">
        <is>
          <t>1. Bitácora</t>
        </is>
      </c>
    </row>
    <row r="5">
      <c r="A5" s="3" t="inlineStr">
        <is>
          <t>Fecha</t>
        </is>
      </c>
      <c r="B5" s="3" t="inlineStr">
        <is>
          <t>Hora</t>
        </is>
      </c>
      <c r="C5" s="3" t="inlineStr">
        <is>
          <t>Quién lo registra</t>
        </is>
      </c>
      <c r="D5" s="3" t="inlineStr">
        <is>
          <t>Responsable de la actividad</t>
        </is>
      </c>
      <c r="E5" s="3" t="inlineStr">
        <is>
          <t>Actividad realizada</t>
        </is>
      </c>
      <c r="F5" s="3" t="inlineStr">
        <is>
          <t>Incidencia o problema</t>
        </is>
      </c>
      <c r="G5" s="3" t="inlineStr">
        <is>
          <t>Decisión tomada</t>
        </is>
      </c>
      <c r="H5" s="3" t="inlineStr">
        <is>
          <t>Evidencia</t>
        </is>
      </c>
    </row>
    <row r="6">
      <c r="A6" s="4" t="inlineStr">
        <is>
          <t>15/10</t>
        </is>
      </c>
      <c r="B6" s="4" t="inlineStr">
        <is>
          <t>10:00</t>
        </is>
      </c>
      <c r="C6" s="4" t="inlineStr">
        <is>
          <t>Ana</t>
        </is>
      </c>
      <c r="D6" s="4" t="inlineStr">
        <is>
          <t>Ana</t>
        </is>
      </c>
      <c r="E6" s="4" t="inlineStr">
        <is>
          <t>Ajusta el formulario de precios</t>
        </is>
      </c>
      <c r="F6" s="4" t="inlineStr"/>
      <c r="G6" s="4" t="inlineStr">
        <is>
          <t>Ninguna</t>
        </is>
      </c>
      <c r="H6" s="4" t="inlineStr">
        <is>
          <t>Commit “fix: ajusta formulario de precios”</t>
        </is>
      </c>
    </row>
    <row r="7">
      <c r="A7" s="4" t="inlineStr">
        <is>
          <t>16/10</t>
        </is>
      </c>
      <c r="B7" s="4" t="inlineStr">
        <is>
          <t>09:30</t>
        </is>
      </c>
      <c r="C7" s="4" t="inlineStr">
        <is>
          <t>Luis</t>
        </is>
      </c>
      <c r="D7" s="4" t="inlineStr">
        <is>
          <t>Luis</t>
        </is>
      </c>
      <c r="E7" s="4" t="inlineStr">
        <is>
          <t>Revisa la carga de precios</t>
        </is>
      </c>
      <c r="F7" s="4" t="inlineStr">
        <is>
          <t>El API del proveedor cambió su formato</t>
        </is>
      </c>
      <c r="G7" s="4" t="inlineStr">
        <is>
          <t>Usar la versión 2 del API y avisar a Rosa</t>
        </is>
      </c>
      <c r="H7" s="4" t="inlineStr">
        <is>
          <t>Captura del error en 03_Desarrollo</t>
        </is>
      </c>
    </row>
    <row r="9">
      <c r="A9" s="7" t="inlineStr">
        <is>
          <t>2. Control de cambios</t>
        </is>
      </c>
    </row>
    <row r="10">
      <c r="A10" s="3" t="inlineStr">
        <is>
          <t>ID</t>
        </is>
      </c>
      <c r="B10" s="3" t="inlineStr">
        <is>
          <t>Fecha de solicitud</t>
        </is>
      </c>
      <c r="C10" s="3" t="inlineStr">
        <is>
          <t>Quién solicita</t>
        </is>
      </c>
      <c r="D10" s="3" t="inlineStr">
        <is>
          <t>Descripción del cambio</t>
        </is>
      </c>
      <c r="E10" s="3" t="inlineStr">
        <is>
          <t>Motivo</t>
        </is>
      </c>
      <c r="F10" s="3" t="inlineStr">
        <is>
          <t>Impacto en tiempo (días)</t>
        </is>
      </c>
      <c r="G10" s="3" t="inlineStr">
        <is>
          <t>Impacto en calidad o costo</t>
        </is>
      </c>
      <c r="H10" s="3" t="inlineStr">
        <is>
          <t>Decisión</t>
        </is>
      </c>
      <c r="I10" s="3" t="inlineStr">
        <is>
          <t>Justificación</t>
        </is>
      </c>
      <c r="J10" s="3" t="inlineStr">
        <is>
          <t>Fecha de decisión</t>
        </is>
      </c>
    </row>
    <row r="11">
      <c r="A11" s="4" t="inlineStr">
        <is>
          <t>CC-01</t>
        </is>
      </c>
      <c r="B11" s="4" t="inlineStr">
        <is>
          <t>18/10</t>
        </is>
      </c>
      <c r="C11" s="4" t="inlineStr">
        <is>
          <t>Cliente</t>
        </is>
      </c>
      <c r="D11" s="4" t="inlineStr">
        <is>
          <t>Pagos en efectivo en la app</t>
        </is>
      </c>
      <c r="E11" s="4" t="inlineStr">
        <is>
          <t>Cobrar a tiendas que no usan tarjeta</t>
        </is>
      </c>
      <c r="F11" s="4" t="n">
        <v>7</v>
      </c>
      <c r="G11" s="4" t="inlineStr">
        <is>
          <t>Requiere flujo nuevo de caja</t>
        </is>
      </c>
      <c r="H11" s="4" t="inlineStr">
        <is>
          <t>Posponer</t>
        </is>
      </c>
      <c r="I11" s="4" t="inlineStr">
        <is>
          <t>Retrasa la entrega una semana; se incluye en la siguiente versión</t>
        </is>
      </c>
      <c r="J11" s="4" t="inlineStr">
        <is>
          <t>20/10</t>
        </is>
      </c>
    </row>
    <row r="13">
      <c r="A13" s="7" t="inlineStr">
        <is>
          <t>3. Registro de riesgos</t>
        </is>
      </c>
    </row>
    <row r="14">
      <c r="A14" s="3" t="inlineStr">
        <is>
          <t>ID</t>
        </is>
      </c>
      <c r="B14" s="3" t="inlineStr">
        <is>
          <t>Descripción del riesgo</t>
        </is>
      </c>
      <c r="C14" s="3" t="inlineStr">
        <is>
          <t>Probabilidad (1-5)</t>
        </is>
      </c>
      <c r="D14" s="3" t="inlineStr">
        <is>
          <t>Impacto (1-5)</t>
        </is>
      </c>
      <c r="E14" s="3" t="inlineStr">
        <is>
          <t>Nivel (P × I)</t>
        </is>
      </c>
      <c r="F14" s="3" t="inlineStr">
        <is>
          <t>Clasificación</t>
        </is>
      </c>
      <c r="G14" s="3" t="inlineStr">
        <is>
          <t>Respuesta propuesta</t>
        </is>
      </c>
      <c r="H14" s="3" t="inlineStr">
        <is>
          <t>Responsable</t>
        </is>
      </c>
      <c r="I14" s="3" t="inlineStr">
        <is>
          <t>Estado</t>
        </is>
      </c>
    </row>
    <row r="15">
      <c r="A15" s="4" t="inlineStr">
        <is>
          <t>R-01</t>
        </is>
      </c>
      <c r="B15" s="4" t="inlineStr">
        <is>
          <t>El proveedor del API cambia el formato otra vez</t>
        </is>
      </c>
      <c r="C15" s="4" t="n">
        <v>4</v>
      </c>
      <c r="D15" s="4" t="n">
        <v>4</v>
      </c>
      <c r="E15" s="4" t="n">
        <v>16</v>
      </c>
      <c r="F15" s="4" t="inlineStr">
        <is>
          <t>Alto</t>
        </is>
      </c>
      <c r="G15" s="4" t="inlineStr">
        <is>
          <t>Fijar la versión del API y pedir aviso previo al proveedor</t>
        </is>
      </c>
      <c r="H15" s="4" t="inlineStr">
        <is>
          <t>Daniel</t>
        </is>
      </c>
      <c r="I15" s="4" t="inlineStr">
        <is>
          <t>En seguimiento</t>
        </is>
      </c>
    </row>
    <row r="17">
      <c r="A17" s="7" t="inlineStr">
        <is>
          <t>4. Avance y semáforo</t>
        </is>
      </c>
    </row>
    <row r="18">
      <c r="A18" s="3" t="inlineStr">
        <is>
          <t>Fase</t>
        </is>
      </c>
      <c r="B18" s="3" t="inlineStr">
        <is>
          <t>Avance planeado (%)</t>
        </is>
      </c>
      <c r="C18" s="3" t="inlineStr">
        <is>
          <t>Avance real (%)</t>
        </is>
      </c>
      <c r="D18" s="3" t="inlineStr">
        <is>
          <t>Variación (puntos)</t>
        </is>
      </c>
      <c r="E18" s="3" t="inlineStr">
        <is>
          <t>Semáforo</t>
        </is>
      </c>
      <c r="F18" s="3" t="inlineStr">
        <is>
          <t>Evidencia que lo comprueba</t>
        </is>
      </c>
      <c r="G18" s="3" t="inlineStr">
        <is>
          <t>Comentario para el docente</t>
        </is>
      </c>
    </row>
    <row r="19">
      <c r="A19" s="4" t="inlineStr">
        <is>
          <t>Requisitos</t>
        </is>
      </c>
      <c r="B19" s="4" t="n">
        <v>100</v>
      </c>
      <c r="C19" s="4" t="n">
        <v>100</v>
      </c>
      <c r="D19" s="4" t="n">
        <v>0</v>
      </c>
      <c r="E19" s="4" t="inlineStr">
        <is>
          <t>Verde</t>
        </is>
      </c>
      <c r="F19" s="4" t="inlineStr">
        <is>
          <t>Catálogo de requisitos aprobado por el cliente</t>
        </is>
      </c>
      <c r="G19" s="4" t="inlineStr"/>
    </row>
    <row r="20">
      <c r="A20" s="4" t="inlineStr">
        <is>
          <t>Diseño</t>
        </is>
      </c>
      <c r="B20" s="4" t="n">
        <v>60</v>
      </c>
      <c r="C20" s="4" t="n">
        <v>45</v>
      </c>
      <c r="D20" s="4" t="n">
        <v>-15</v>
      </c>
      <c r="E20" s="4" t="inlineStr">
        <is>
          <t>Rojo</t>
        </is>
      </c>
      <c r="F20" s="4" t="inlineStr">
        <is>
          <t>Diagramas en 02_Diseno</t>
        </is>
      </c>
      <c r="G20" s="4" t="inlineStr">
        <is>
          <t>Se replanea la semana 4</t>
        </is>
      </c>
    </row>
    <row r="21">
      <c r="A21" s="4" t="inlineStr">
        <is>
          <t>Desarrollo</t>
        </is>
      </c>
      <c r="B21" s="4" t="n">
        <v>20</v>
      </c>
      <c r="C21" s="4" t="n">
        <v>10</v>
      </c>
      <c r="D21" s="4" t="n">
        <v>-10</v>
      </c>
      <c r="E21" s="4" t="inlineStr">
        <is>
          <t>Amarillo</t>
        </is>
      </c>
      <c r="F21" s="4" t="inlineStr">
        <is>
          <t>Commits de la semana</t>
        </is>
      </c>
      <c r="G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2026-10-20T05:31:37Z</dcterms:created>
  <dcterms:modified xmlns:dcterms="http://purl.org/dc/terms/" xmlns:xsi="http://www.w3.org/2001/XMLSchema-instance" xsi:type="dcterms:W3CDTF">2026-10-28T14:50:13Z</dcterms:modified>
</cp:coreProperties>
</file>